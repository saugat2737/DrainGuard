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ources" sheetId="1" state="visible" r:id="rId3"/>
    <sheet name="Zones" sheetId="2" state="visible" r:id="rId4"/>
    <sheet name="Seed Reports" sheetId="3" state="visible" r:id="rId5"/>
    <sheet name="Factor Guide" sheetId="4" state="visible" r:id="rId6"/>
    <sheet name="Rules &amp; Credi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<sst xmlns="http://schemas.openxmlformats.org/spreadsheetml/2006/main" count="174" uniqueCount="132">
  <si>
    <t xml:space="preserve">DrainGuard — Where the data comes from</t>
  </si>
  <si>
    <t xml:space="preserve">Six kinds of data. Only rainfall and map/routing are live external feeds; the rest you create or estimate.</t>
  </si>
  <si>
    <t xml:space="preserve">Data</t>
  </si>
  <si>
    <t xml:space="preserve">Where it comes from</t>
  </si>
  <si>
    <t xml:space="preserve">How to get it</t>
  </si>
  <si>
    <t xml:space="preserve">Real or simulated?</t>
  </si>
  <si>
    <t xml:space="preserve">Label in UI/README</t>
  </si>
  <si>
    <t xml:space="preserve">Credit needed</t>
  </si>
  <si>
    <t xml:space="preserve">Rainfall forecast</t>
  </si>
  <si>
    <t xml:space="preserve">Open-Meteo forecast API (free, no key)</t>
  </si>
  <si>
    <t xml:space="preserve">Called live from /api/weather. Use the slider for the demo because competition day may show 0 mm.</t>
  </si>
  <si>
    <t xml:space="preserve">Real</t>
  </si>
  <si>
    <t xml:space="preserve">Show source chip: 'Open-Meteo'</t>
  </si>
  <si>
    <t xml:space="preserve">Open-Meteo</t>
  </si>
  <si>
    <t xml:space="preserve">Map tiles and roads</t>
  </si>
  <si>
    <t xml:space="preserve">OpenStreetMap tiles in Leaflet; OSRM public server for routes</t>
  </si>
  <si>
    <t xml:space="preserve">Leaflet loads tiles; /api/route calls OSRM with alternatives=true.</t>
  </si>
  <si>
    <t xml:space="preserve">Footer/About credit</t>
  </si>
  <si>
    <t xml:space="preserve">OpenStreetMap contributors, OSRM</t>
  </si>
  <si>
    <t xml:space="preserve">Street zones</t>
  </si>
  <si>
    <t xml:space="preserve">You draw them</t>
  </si>
  <si>
    <t xml:space="preserve">geojson.io: draw 8-12 lines along real Tumakuru streets (main roads, low junctions, near lakes), name each, export to zones.seed.json (~20 min). Alternative: Overpass API script.</t>
  </si>
  <si>
    <t xml:space="preserve">Simulated</t>
  </si>
  <si>
    <t xml:space="preserve">'Simulated demo data' badge</t>
  </si>
  <si>
    <t xml:space="preserve">geojson.io (tool), OSM if Overpass used</t>
  </si>
  <si>
    <t xml:space="preserve">Elevation factor</t>
  </si>
  <si>
    <t xml:space="preserve">Elevation API (Open-Meteo elevation, backup Open-Elevation)</t>
  </si>
  <si>
    <t xml:space="preserve">Fetch elevation at each zone midpoint, then normalise: lowest zone = 1.0, highest = 0.0 (see Zones sheet formula). Sanity-check ordering with local knowledge.</t>
  </si>
  <si>
    <t xml:space="preserve">Real elevation, hand-set factor</t>
  </si>
  <si>
    <t xml:space="preserve">Explain method on /about</t>
  </si>
  <si>
    <t xml:space="preserve">Open-Meteo / Open-Elevation</t>
  </si>
  <si>
    <t xml:space="preserve">Flood history factor</t>
  </si>
  <si>
    <t xml:space="preserve">Team local knowledge + news searches + Tumakuru Smart City site + KSNDMC</t>
  </si>
  <si>
    <t xml:space="preserve">Search 'Tumakuru waterlogging', 'Tumakuru drain overflow'. Assign 0-1 by judgement (see Factor Guide).</t>
  </si>
  <si>
    <t xml:space="preserve">Estimated</t>
  </si>
  <si>
    <t xml:space="preserve">Call it a 'demo estimate', never an official statistic</t>
  </si>
  <si>
    <t xml:space="preserve">Cite any article you rely on</t>
  </si>
  <si>
    <t xml:space="preserve">Seed reports and photos</t>
  </si>
  <si>
    <t xml:space="preserve">You create them</t>
  </si>
  <si>
    <t xml:space="preserve">Best: take 5-8 real photos of drains/gutters/puddles. Fallback: Wikimedia Commons or Unsplash (free-licensed). Keep one clear blocked-drain photo pre-tested with Gemini for the demo.</t>
  </si>
  <si>
    <t xml:space="preserve">Mark seed reports source='seed'</t>
  </si>
  <si>
    <t xml:space="preserve">Photo credits in README</t>
  </si>
  <si>
    <t xml:space="preserve">Zones — fill in, then copy into zones.seed.json</t>
  </si>
  <si>
    <t xml:space="preserve">Yellow cells = you fill. Grey italic row = example only (not used in calculations). Elevation factor and Ready? are formulas.</t>
  </si>
  <si>
    <t xml:space="preserve">Zones ready:</t>
  </si>
  <si>
    <t xml:space="preserve">Zone ID</t>
  </si>
  <si>
    <t xml:space="preserve">Name</t>
  </si>
  <si>
    <t xml:space="preserve">Latitude</t>
  </si>
  <si>
    <t xml:space="preserve">Longitude</t>
  </si>
  <si>
    <t xml:space="preserve">Elevation (m)</t>
  </si>
  <si>
    <t xml:space="preserve">Elevation factor (0-1)</t>
  </si>
  <si>
    <t xml:space="preserve">History factor (0-1)</t>
  </si>
  <si>
    <t xml:space="preserve">Basis for history estimate</t>
  </si>
  <si>
    <t xml:space="preserve">Simulated?</t>
  </si>
  <si>
    <t xml:space="preserve">Ready?</t>
  </si>
  <si>
    <t xml:space="preserve">EXAMPLE</t>
  </si>
  <si>
    <t xml:space="preserve">Example: main road junction near lake</t>
  </si>
  <si>
    <t xml:space="preserve">Team knowledge: waterlogs most monsoons</t>
  </si>
  <si>
    <t xml:space="preserve">Yes</t>
  </si>
  <si>
    <t xml:space="preserve">Example</t>
  </si>
  <si>
    <t xml:space="preserve">Z01</t>
  </si>
  <si>
    <t xml:space="preserve">Z02</t>
  </si>
  <si>
    <t xml:space="preserve">Z03</t>
  </si>
  <si>
    <t xml:space="preserve">Z04</t>
  </si>
  <si>
    <t xml:space="preserve">Z05</t>
  </si>
  <si>
    <t xml:space="preserve">Z06</t>
  </si>
  <si>
    <t xml:space="preserve">Z07</t>
  </si>
  <si>
    <t xml:space="preserve">Z08</t>
  </si>
  <si>
    <t xml:space="preserve">Z09</t>
  </si>
  <si>
    <t xml:space="preserve">Z10</t>
  </si>
  <si>
    <t xml:space="preserve">Notes</t>
  </si>
  <si>
    <t xml:space="preserve">Elevation factor = (highest elevation - this zone's elevation) / (highest - lowest), so the lowest-lying zone scores 1.0. Needs at least two different elevations.</t>
  </si>
  <si>
    <t xml:space="preserve">Example row values are illustrative placeholders, not real measurements. Elevation differences across a small city can be only a few metres; check the ordering against local knowledge.</t>
  </si>
  <si>
    <t xml:space="preserve">Seed reports and photos — 5-8 needed</t>
  </si>
  <si>
    <t xml:space="preserve">Yellow cells = you fill. Grey italic row = example only. Keep one clear blocked-drain photo pre-tested with Gemini for the demo.</t>
  </si>
  <si>
    <t xml:space="preserve">Report ID</t>
  </si>
  <si>
    <t xml:space="preserve">Photo file name</t>
  </si>
  <si>
    <t xml:space="preserve">Photo source</t>
  </si>
  <si>
    <t xml:space="preserve">Credit / licence</t>
  </si>
  <si>
    <t xml:space="preserve">Blockage type</t>
  </si>
  <si>
    <t xml:space="preserve">Severity (1-3)</t>
  </si>
  <si>
    <t xml:space="preserve">One-line summary</t>
  </si>
  <si>
    <t xml:space="preserve">Status</t>
  </si>
  <si>
    <t xml:space="preserve">Source</t>
  </si>
  <si>
    <t xml:space="preserve">drain_01.jpg</t>
  </si>
  <si>
    <t xml:space="preserve">Own photo</t>
  </si>
  <si>
    <t xml:space="preserve">Taken by team</t>
  </si>
  <si>
    <t xml:space="preserve">plastic</t>
  </si>
  <si>
    <t xml:space="preserve">Drain mouth blocked by plastic waste</t>
  </si>
  <si>
    <t xml:space="preserve">open</t>
  </si>
  <si>
    <t xml:space="preserve">seed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</si>
  <si>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</si>
  <si>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</si>
  <si>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</si>
  <si>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</si>
  <si>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</si>
  <si>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</si>
  <si>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</si>
  <si>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</si>
  <si>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Factor guide</t>
  </si>
  <si>
    <t xml:space="preserve">History factor scale (judgement-based; label as demo estimate)</t>
  </si>
  <si>
    <t xml:space="preserve">Value</t>
  </si>
  <si>
    <t xml:space="preserve">Meaning</t>
  </si>
  <si>
    <t xml:space="preserve">No known waterlogging</t>
  </si>
  <si>
    <t xml:space="preserve">Rare, minor puddling</t>
  </si>
  <si>
    <t xml:space="preserve">Waterlogs in heavy monsoon spells</t>
  </si>
  <si>
    <t xml:space="preserve">Waterlogs most monsoons, disrupts traffic</t>
  </si>
  <si>
    <t xml:space="preserve">Chronic: floods repeatedly, widely reported</t>
  </si>
  <si>
    <t xml:space="preserve">Risk weights used by the engine (from 05_RISK_ENGINE.md)</t>
  </si>
  <si>
    <t xml:space="preserve">Factor</t>
  </si>
  <si>
    <t xml:space="preserve">Weight</t>
  </si>
  <si>
    <t xml:space="preserve">Rain</t>
  </si>
  <si>
    <t xml:space="preserve">Blockage</t>
  </si>
  <si>
    <t xml:space="preserve">History</t>
  </si>
  <si>
    <t xml:space="preserve">Elevation</t>
  </si>
  <si>
    <t xml:space="preserve">Total</t>
  </si>
  <si>
    <t xml:space="preserve">Weights are hand-set and illustrative, not trained. Source: docs/05_RISK_ENGINE.md.</t>
  </si>
  <si>
    <t xml:space="preserve">Rules for using this data, and credits to include</t>
  </si>
  <si>
    <t xml:space="preserve">Done?</t>
  </si>
  <si>
    <t xml:space="preserve">Item</t>
  </si>
  <si>
    <t xml:space="preserve">No</t>
  </si>
  <si>
    <t xml:space="preserve">Label all seed data as simulated in code, data files, UI badge and README</t>
  </si>
  <si>
    <t xml:space="preserve">Describe hand-set history values as 'demo estimates', not official statistics</t>
  </si>
  <si>
    <t xml:space="preserve">Credit Open-Meteo (rainfall, elevation)</t>
  </si>
  <si>
    <t xml:space="preserve">Credit OpenStreetMap contributors (map tiles)</t>
  </si>
  <si>
    <t xml:space="preserve">Credit OSRM (routing)</t>
  </si>
  <si>
    <t xml:space="preserve">Credit every photo from Wikimedia Commons or Unsplash</t>
  </si>
  <si>
    <t xml:space="preserve">Credit geojson.io / Overpass if used to build zones</t>
  </si>
  <si>
    <t xml:space="preserve">Cite any news article used to justify a history factor</t>
  </si>
  <si>
    <t xml:space="preserve">Explain the method and limits on the /about page</t>
  </si>
  <si>
    <t xml:space="preserve">Pre-test the demo photo with Gemini and keep it ready</t>
  </si>
  <si>
    <t xml:space="preserve">Completed: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</si>
</sst>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62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23.8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11</v>
      </c>
      <c r="E6" s="4" t="s">
        <v>17</v>
      </c>
      <c r="F6" s="4" t="s">
        <v>18</v>
      </c>
    </row>
    <row r="7" customFormat="false" ht="35.05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</row>
    <row r="8" customFormat="false" ht="35.05" hidden="false" customHeight="false" outlineLevel="0" collapsed="false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</row>
    <row r="9" customFormat="false" ht="23.8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</row>
    <row r="10" customFormat="false" ht="35.05" hidden="false" customHeight="false" outlineLevel="0" collapsed="false">
      <c r="A10" s="4" t="s">
        <v>37</v>
      </c>
      <c r="B10" s="4" t="s">
        <v>38</v>
      </c>
      <c r="C10" s="4" t="s">
        <v>39</v>
      </c>
      <c r="D10" s="4" t="s">
        <v>22</v>
      </c>
      <c r="E10" s="4" t="s">
        <v>40</v>
      </c>
      <c r="F10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5" t="s">
        <v>44</v>
      </c>
      <c r="B3" s="5" t="str">
        <f aca="false">COUNTIF(J7:J16,"Ready")&amp;" of "&amp;ROWS(J7:J16)</f>
        <v>0 of 10</v>
      </c>
    </row>
    <row r="5" customFormat="false" ht="23.85" hidden="false" customHeight="false" outlineLevel="0" collapsed="false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</row>
    <row r="6" customFormat="false" ht="15" hidden="false" customHeight="false" outlineLevel="0" collapsed="false">
      <c r="A6" s="6" t="s">
        <v>55</v>
      </c>
      <c r="B6" s="6" t="s">
        <v>56</v>
      </c>
      <c r="C6" s="7" t="n">
        <v>13.3392</v>
      </c>
      <c r="D6" s="7" t="n">
        <v>77.114</v>
      </c>
      <c r="E6" s="6" t="n">
        <v>822</v>
      </c>
      <c r="F6" s="6" t="n">
        <v>0.8</v>
      </c>
      <c r="G6" s="6" t="n">
        <v>0.7</v>
      </c>
      <c r="H6" s="6" t="s">
        <v>57</v>
      </c>
      <c r="I6" s="6" t="s">
        <v>58</v>
      </c>
      <c r="J6" s="6" t="s">
        <v>59</v>
      </c>
    </row>
    <row r="7" customFormat="false" ht="15" hidden="false" customHeight="false" outlineLevel="0" collapsed="false">
      <c r="A7" s="4" t="s">
        <v>60</v>
      </c>
      <c r="B7" s="8"/>
      <c r="C7" s="9"/>
      <c r="D7" s="9"/>
      <c r="E7" s="10"/>
      <c r="F7" s="11" t="str">
        <f aca="false">IF(OR(E7="",MAX($E$7:$E$16)=MIN($E$7:$E$16)),"",ROUND((MAX($E$7:$E$16)-E7)/(MAX($E$7:$E$16)-MIN($E$7:$E$16)),2))</f>
        <v/>
      </c>
      <c r="G7" s="12"/>
      <c r="H7" s="8"/>
      <c r="I7" s="4" t="s">
        <v>58</v>
      </c>
      <c r="J7" s="4" t="str">
        <f aca="false">IF(AND(B7&lt;&gt;"",C7&lt;&gt;"",D7&lt;&gt;"",E7&lt;&gt;"",G7&lt;&gt;"",H7&lt;&gt;""),"Ready","Incomplete")</f>
        <v>Incomplete</v>
      </c>
    </row>
    <row r="8" customFormat="false" ht="15" hidden="false" customHeight="false" outlineLevel="0" collapsed="false">
      <c r="A8" s="4" t="s">
        <v>61</v>
      </c>
      <c r="B8" s="8"/>
      <c r="C8" s="9"/>
      <c r="D8" s="9"/>
      <c r="E8" s="10"/>
      <c r="F8" s="11" t="str">
        <f aca="false">IF(OR(E8="",MAX($E$7:$E$16)=MIN($E$7:$E$16)),"",ROUND((MAX($E$7:$E$16)-E8)/(MAX($E$7:$E$16)-MIN($E$7:$E$16)),2))</f>
        <v/>
      </c>
      <c r="G8" s="12"/>
      <c r="H8" s="8"/>
      <c r="I8" s="4" t="s">
        <v>58</v>
      </c>
      <c r="J8" s="4" t="str">
        <f aca="false">IF(AND(B8&lt;&gt;"",C8&lt;&gt;"",D8&lt;&gt;"",E8&lt;&gt;"",G8&lt;&gt;"",H8&lt;&gt;""),"Ready","Incomplete")</f>
        <v>Incomplete</v>
      </c>
    </row>
    <row r="9" customFormat="false" ht="15" hidden="false" customHeight="false" outlineLevel="0" collapsed="false">
      <c r="A9" s="4" t="s">
        <v>62</v>
      </c>
      <c r="B9" s="8"/>
      <c r="C9" s="9"/>
      <c r="D9" s="9"/>
      <c r="E9" s="10"/>
      <c r="F9" s="11" t="str">
        <f aca="false">IF(OR(E9="",MAX($E$7:$E$16)=MIN($E$7:$E$16)),"",ROUND((MAX($E$7:$E$16)-E9)/(MAX($E$7:$E$16)-MIN($E$7:$E$16)),2))</f>
        <v/>
      </c>
      <c r="G9" s="12"/>
      <c r="H9" s="8"/>
      <c r="I9" s="4" t="s">
        <v>58</v>
      </c>
      <c r="J9" s="4" t="str">
        <f aca="false">IF(AND(B9&lt;&gt;"",C9&lt;&gt;"",D9&lt;&gt;"",E9&lt;&gt;"",G9&lt;&gt;"",H9&lt;&gt;""),"Ready","Incomplete")</f>
        <v>Incomplete</v>
      </c>
    </row>
    <row r="10" customFormat="false" ht="15" hidden="false" customHeight="false" outlineLevel="0" collapsed="false">
      <c r="A10" s="4" t="s">
        <v>63</v>
      </c>
      <c r="B10" s="8"/>
      <c r="C10" s="9"/>
      <c r="D10" s="9"/>
      <c r="E10" s="10"/>
      <c r="F10" s="11" t="str">
        <f aca="false">IF(OR(E10="",MAX($E$7:$E$16)=MIN($E$7:$E$16)),"",ROUND((MAX($E$7:$E$16)-E10)/(MAX($E$7:$E$16)-MIN($E$7:$E$16)),2))</f>
        <v/>
      </c>
      <c r="G10" s="12"/>
      <c r="H10" s="8"/>
      <c r="I10" s="4" t="s">
        <v>58</v>
      </c>
      <c r="J10" s="4" t="str">
        <f aca="false">IF(AND(B10&lt;&gt;"",C10&lt;&gt;"",D10&lt;&gt;"",E10&lt;&gt;"",G10&lt;&gt;"",H10&lt;&gt;""),"Ready","Incomplete")</f>
        <v>Incomplete</v>
      </c>
    </row>
    <row r="11" customFormat="false" ht="15" hidden="false" customHeight="false" outlineLevel="0" collapsed="false">
      <c r="A11" s="4" t="s">
        <v>64</v>
      </c>
      <c r="B11" s="8"/>
      <c r="C11" s="9"/>
      <c r="D11" s="9"/>
      <c r="E11" s="10"/>
      <c r="F11" s="11" t="str">
        <f aca="false">IF(OR(E11="",MAX($E$7:$E$16)=MIN($E$7:$E$16)),"",ROUND((MAX($E$7:$E$16)-E11)/(MAX($E$7:$E$16)-MIN($E$7:$E$16)),2))</f>
        <v/>
      </c>
      <c r="G11" s="12"/>
      <c r="H11" s="8"/>
      <c r="I11" s="4" t="s">
        <v>58</v>
      </c>
      <c r="J11" s="4" t="str">
        <f aca="false">IF(AND(B11&lt;&gt;"",C11&lt;&gt;"",D11&lt;&gt;"",E11&lt;&gt;"",G11&lt;&gt;"",H11&lt;&gt;""),"Ready","Incomplete")</f>
        <v>Incomplete</v>
      </c>
    </row>
    <row r="12" customFormat="false" ht="15" hidden="false" customHeight="false" outlineLevel="0" collapsed="false">
      <c r="A12" s="4" t="s">
        <v>65</v>
      </c>
      <c r="B12" s="8"/>
      <c r="C12" s="9"/>
      <c r="D12" s="9"/>
      <c r="E12" s="10"/>
      <c r="F12" s="11" t="str">
        <f aca="false">IF(OR(E12="",MAX($E$7:$E$16)=MIN($E$7:$E$16)),"",ROUND((MAX($E$7:$E$16)-E12)/(MAX($E$7:$E$16)-MIN($E$7:$E$16)),2))</f>
        <v/>
      </c>
      <c r="G12" s="12"/>
      <c r="H12" s="8"/>
      <c r="I12" s="4" t="s">
        <v>58</v>
      </c>
      <c r="J12" s="4" t="str">
        <f aca="false">IF(AND(B12&lt;&gt;"",C12&lt;&gt;"",D12&lt;&gt;"",E12&lt;&gt;"",G12&lt;&gt;"",H12&lt;&gt;""),"Ready","Incomplete")</f>
        <v>Incomplete</v>
      </c>
    </row>
    <row r="13" customFormat="false" ht="15" hidden="false" customHeight="false" outlineLevel="0" collapsed="false">
      <c r="A13" s="4" t="s">
        <v>66</v>
      </c>
      <c r="B13" s="8"/>
      <c r="C13" s="9"/>
      <c r="D13" s="9"/>
      <c r="E13" s="10"/>
      <c r="F13" s="11" t="str">
        <f aca="false">IF(OR(E13="",MAX($E$7:$E$16)=MIN($E$7:$E$16)),"",ROUND((MAX($E$7:$E$16)-E13)/(MAX($E$7:$E$16)-MIN($E$7:$E$16)),2))</f>
        <v/>
      </c>
      <c r="G13" s="12"/>
      <c r="H13" s="8"/>
      <c r="I13" s="4" t="s">
        <v>58</v>
      </c>
      <c r="J13" s="4" t="str">
        <f aca="false">IF(AND(B13&lt;&gt;"",C13&lt;&gt;"",D13&lt;&gt;"",E13&lt;&gt;"",G13&lt;&gt;"",H13&lt;&gt;""),"Ready","Incomplete")</f>
        <v>Incomplete</v>
      </c>
    </row>
    <row r="14" customFormat="false" ht="15" hidden="false" customHeight="false" outlineLevel="0" collapsed="false">
      <c r="A14" s="4" t="s">
        <v>67</v>
      </c>
      <c r="B14" s="8"/>
      <c r="C14" s="9"/>
      <c r="D14" s="9"/>
      <c r="E14" s="10"/>
      <c r="F14" s="11" t="str">
        <f aca="false">IF(OR(E14="",MAX($E$7:$E$16)=MIN($E$7:$E$16)),"",ROUND((MAX($E$7:$E$16)-E14)/(MAX($E$7:$E$16)-MIN($E$7:$E$16)),2))</f>
        <v/>
      </c>
      <c r="G14" s="12"/>
      <c r="H14" s="8"/>
      <c r="I14" s="4" t="s">
        <v>58</v>
      </c>
      <c r="J14" s="4" t="str">
        <f aca="false">IF(AND(B14&lt;&gt;"",C14&lt;&gt;"",D14&lt;&gt;"",E14&lt;&gt;"",G14&lt;&gt;"",H14&lt;&gt;""),"Ready","Incomplete")</f>
        <v>Incomplete</v>
      </c>
    </row>
    <row r="15" customFormat="false" ht="15" hidden="false" customHeight="false" outlineLevel="0" collapsed="false">
      <c r="A15" s="4" t="s">
        <v>68</v>
      </c>
      <c r="B15" s="8"/>
      <c r="C15" s="9"/>
      <c r="D15" s="9"/>
      <c r="E15" s="10"/>
      <c r="F15" s="11" t="str">
        <f aca="false">IF(OR(E15="",MAX($E$7:$E$16)=MIN($E$7:$E$16)),"",ROUND((MAX($E$7:$E$16)-E15)/(MAX($E$7:$E$16)-MIN($E$7:$E$16)),2))</f>
        <v/>
      </c>
      <c r="G15" s="12"/>
      <c r="H15" s="8"/>
      <c r="I15" s="4" t="s">
        <v>58</v>
      </c>
      <c r="J15" s="4" t="str">
        <f aca="false">IF(AND(B15&lt;&gt;"",C15&lt;&gt;"",D15&lt;&gt;"",E15&lt;&gt;"",G15&lt;&gt;"",H15&lt;&gt;""),"Ready","Incomplete")</f>
        <v>Incomplete</v>
      </c>
    </row>
    <row r="16" customFormat="false" ht="15" hidden="false" customHeight="false" outlineLevel="0" collapsed="false">
      <c r="A16" s="4" t="s">
        <v>69</v>
      </c>
      <c r="B16" s="8"/>
      <c r="C16" s="9"/>
      <c r="D16" s="9"/>
      <c r="E16" s="10"/>
      <c r="F16" s="11" t="str">
        <f aca="false">IF(OR(E16="",MAX($E$7:$E$16)=MIN($E$7:$E$16)),"",ROUND((MAX($E$7:$E$16)-E16)/(MAX($E$7:$E$16)-MIN($E$7:$E$16)),2))</f>
        <v/>
      </c>
      <c r="G16" s="12"/>
      <c r="H16" s="8"/>
      <c r="I16" s="4" t="s">
        <v>58</v>
      </c>
      <c r="J16" s="4" t="str">
        <f aca="false">IF(AND(B16&lt;&gt;"",C16&lt;&gt;"",D16&lt;&gt;"",E16&lt;&gt;"",G16&lt;&gt;"",H16&lt;&gt;""),"Ready","Incomplete")</f>
        <v>Incomplete</v>
      </c>
    </row>
    <row r="18" customFormat="false" ht="15" hidden="false" customHeight="false" outlineLevel="0" collapsed="false">
      <c r="A18" s="5" t="s">
        <v>70</v>
      </c>
    </row>
    <row r="19" customFormat="false" ht="15" hidden="false" customHeight="false" outlineLevel="0" collapsed="false">
      <c r="A19" s="2" t="s">
        <v>71</v>
      </c>
    </row>
    <row r="20" customFormat="false" ht="15" hidden="false" customHeight="false" outlineLevel="0" collapsed="false">
      <c r="A20" s="2" t="s">
        <v>72</v>
      </c>
    </row>
  </sheetData>
  <dataValidations count="1">
    <dataValidation allowBlank="false" error="Enter a value from 0 to 1" errorStyle="stop" operator="between" showDropDown="false" showErrorMessage="true" showInputMessage="false" sqref="G7:G1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8"/>
    <col collapsed="false" customWidth="true" hidden="false" outlineLevel="0" max="11" min="11" style="0" width="10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75</v>
      </c>
      <c r="B4" s="3" t="s">
        <v>47</v>
      </c>
      <c r="C4" s="3" t="s">
        <v>48</v>
      </c>
      <c r="D4" s="3" t="s">
        <v>45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</row>
    <row r="5" customFormat="false" ht="15" hidden="false" customHeight="false" outlineLevel="0" collapsed="false">
      <c r="A5" s="6" t="s">
        <v>55</v>
      </c>
      <c r="B5" s="7" t="n">
        <v>13.3395</v>
      </c>
      <c r="C5" s="7" t="n">
        <v>77.1142</v>
      </c>
      <c r="D5" s="6" t="s">
        <v>60</v>
      </c>
      <c r="E5" s="6" t="s">
        <v>84</v>
      </c>
      <c r="F5" s="6" t="s">
        <v>85</v>
      </c>
      <c r="G5" s="6" t="s">
        <v>86</v>
      </c>
      <c r="H5" s="6" t="s">
        <v>87</v>
      </c>
      <c r="I5" s="6" t="n">
        <v>3</v>
      </c>
      <c r="J5" s="6" t="s">
        <v>88</v>
      </c>
      <c r="K5" s="6" t="s">
        <v>89</v>
      </c>
      <c r="L5" s="6" t="s">
        <v>90</v>
      </c>
    </row>
    <row r="6" customFormat="false" ht="15" hidden="false" customHeight="false" outlineLevel="0" collapsed="false">
      <c r="A6" s="4" t="s">
        <v>91</v>
      </c>
      <c r="B6" s="9"/>
      <c r="C6" s="9"/>
      <c r="D6" s="8"/>
      <c r="E6" s="8"/>
      <c r="F6" s="8"/>
      <c r="G6" s="8"/>
      <c r="H6" s="8"/>
      <c r="I6" s="8"/>
      <c r="J6" s="8"/>
      <c r="K6" s="4" t="s">
        <v>89</v>
      </c>
      <c r="L6" s="4" t="s">
        <v>90</v>
      </c>
    </row>
    <row r="7" customFormat="false" ht="15" hidden="false" customHeight="false" outlineLevel="0" collapsed="false">
      <c r="A7" s="4" t="s">
        <v>92</v>
      </c>
      <c r="B7" s="9"/>
      <c r="C7" s="9"/>
      <c r="D7" s="8"/>
      <c r="E7" s="8"/>
      <c r="F7" s="8"/>
      <c r="G7" s="8"/>
      <c r="H7" s="8"/>
      <c r="I7" s="8"/>
      <c r="J7" s="8"/>
      <c r="K7" s="4" t="s">
        <v>89</v>
      </c>
      <c r="L7" s="4" t="s">
        <v>90</v>
      </c>
    </row>
    <row r="8" customFormat="false" ht="15" hidden="false" customHeight="false" outlineLevel="0" collapsed="false">
      <c r="A8" s="4" t="s">
        <v>93</v>
      </c>
      <c r="B8" s="9"/>
      <c r="C8" s="9"/>
      <c r="D8" s="8"/>
      <c r="E8" s="8"/>
      <c r="F8" s="8"/>
      <c r="G8" s="8"/>
      <c r="H8" s="8"/>
      <c r="I8" s="8"/>
      <c r="J8" s="8"/>
      <c r="K8" s="4" t="s">
        <v>89</v>
      </c>
      <c r="L8" s="4" t="s">
        <v>90</v>
      </c>
    </row>
    <row r="9" customFormat="false" ht="15" hidden="false" customHeight="false" outlineLevel="0" collapsed="false">
      <c r="A9" s="4" t="s">
        <v>94</v>
      </c>
      <c r="B9" s="9"/>
      <c r="C9" s="9"/>
      <c r="D9" s="8"/>
      <c r="E9" s="8"/>
      <c r="F9" s="8"/>
      <c r="G9" s="8"/>
      <c r="H9" s="8"/>
      <c r="I9" s="8"/>
      <c r="J9" s="8"/>
      <c r="K9" s="4" t="s">
        <v>89</v>
      </c>
      <c r="L9" s="4" t="s">
        <v>90</v>
      </c>
    </row>
    <row r="10" customFormat="false" ht="15" hidden="false" customHeight="false" outlineLevel="0" collapsed="false">
      <c r="A10" s="4" t="s">
        <v>95</v>
      </c>
      <c r="B10" s="9"/>
      <c r="C10" s="9"/>
      <c r="D10" s="8"/>
      <c r="E10" s="8"/>
      <c r="F10" s="8"/>
      <c r="G10" s="8"/>
      <c r="H10" s="8"/>
      <c r="I10" s="8"/>
      <c r="J10" s="8"/>
      <c r="K10" s="4" t="s">
        <v>89</v>
      </c>
      <c r="L10" s="4" t="s">
        <v>90</v>
      </c>
    </row>
    <row r="11" customFormat="false" ht="15" hidden="false" customHeight="false" outlineLevel="0" collapsed="false">
      <c r="A11" s="4" t="s">
        <v>96</v>
      </c>
      <c r="B11" s="9"/>
      <c r="C11" s="9"/>
      <c r="D11" s="8"/>
      <c r="E11" s="8"/>
      <c r="F11" s="8"/>
      <c r="G11" s="8"/>
      <c r="H11" s="8"/>
      <c r="I11" s="8"/>
      <c r="J11" s="8"/>
      <c r="K11" s="4" t="s">
        <v>89</v>
      </c>
      <c r="L11" s="4" t="s">
        <v>90</v>
      </c>
    </row>
    <row r="12" customFormat="false" ht="15" hidden="false" customHeight="false" outlineLevel="0" collapsed="false">
      <c r="A12" s="4" t="s">
        <v>97</v>
      </c>
      <c r="B12" s="9"/>
      <c r="C12" s="9"/>
      <c r="D12" s="8"/>
      <c r="E12" s="8"/>
      <c r="F12" s="8"/>
      <c r="G12" s="8"/>
      <c r="H12" s="8"/>
      <c r="I12" s="8"/>
      <c r="J12" s="8"/>
      <c r="K12" s="4" t="s">
        <v>89</v>
      </c>
      <c r="L12" s="4" t="s">
        <v>90</v>
      </c>
    </row>
    <row r="13" customFormat="false" ht="15" hidden="false" customHeight="false" outlineLevel="0" collapsed="false">
      <c r="A13" s="4" t="s">
        <v>98</v>
      </c>
      <c r="B13" s="9"/>
      <c r="C13" s="9"/>
      <c r="D13" s="8"/>
      <c r="E13" s="8"/>
      <c r="F13" s="8"/>
      <c r="G13" s="8"/>
      <c r="H13" s="8"/>
      <c r="I13" s="8"/>
      <c r="J13" s="8"/>
      <c r="K13" s="4" t="s">
        <v>89</v>
      </c>
      <c r="L13" s="4" t="s">
        <v>90</v>
      </c>
    </row>
  </sheetData>
  <dataValidations count="4">
    <dataValidation allowBlank="true" errorStyle="stop" operator="between" showDropDown="false" showErrorMessage="false" showInputMessage="false" sqref="H6:H13" type="list">
      <formula1>"plastic,silt,debris,construction,none,unknown"</formula1>
      <formula2>0</formula2>
    </dataValidation>
    <dataValidation allowBlank="true" error="Severity must be 1, 2 or 3" errorStyle="stop" operator="between" showDropDown="false" showErrorMessage="true" showInputMessage="false" sqref="I6:I13" type="whole">
      <formula1>1</formula1>
      <formula2>3</formula2>
    </dataValidation>
    <dataValidation allowBlank="true" errorStyle="stop" operator="between" showDropDown="false" showErrorMessage="false" showInputMessage="false" sqref="F6:F13" type="list">
      <formula1>"Own photo,Wikimedia Commons,Unsplash"</formula1>
      <formula2>0</formula2>
    </dataValidation>
    <dataValidation allowBlank="true" errorStyle="stop" operator="between" showDropDown="false" showErrorMessage="false" showInputMessage="false" sqref="K6:K13" type="list">
      <formula1>"open,assigned,cleared"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5" t="s">
        <v>100</v>
      </c>
    </row>
    <row r="4" customFormat="false" ht="15" hidden="false" customHeight="false" outlineLevel="0" collapsed="false">
      <c r="A4" s="3" t="s">
        <v>101</v>
      </c>
      <c r="B4" s="3" t="s">
        <v>102</v>
      </c>
    </row>
    <row r="5" customFormat="false" ht="15" hidden="false" customHeight="false" outlineLevel="0" collapsed="false">
      <c r="A5" s="13" t="n">
        <v>0</v>
      </c>
      <c r="B5" s="14" t="s">
        <v>103</v>
      </c>
    </row>
    <row r="6" customFormat="false" ht="15" hidden="false" customHeight="false" outlineLevel="0" collapsed="false">
      <c r="A6" s="13" t="n">
        <v>0.25</v>
      </c>
      <c r="B6" s="14" t="s">
        <v>104</v>
      </c>
    </row>
    <row r="7" customFormat="false" ht="15" hidden="false" customHeight="false" outlineLevel="0" collapsed="false">
      <c r="A7" s="13" t="n">
        <v>0.5</v>
      </c>
      <c r="B7" s="14" t="s">
        <v>105</v>
      </c>
    </row>
    <row r="8" customFormat="false" ht="15" hidden="false" customHeight="false" outlineLevel="0" collapsed="false">
      <c r="A8" s="13" t="n">
        <v>0.75</v>
      </c>
      <c r="B8" s="14" t="s">
        <v>106</v>
      </c>
    </row>
    <row r="9" customFormat="false" ht="15" hidden="false" customHeight="false" outlineLevel="0" collapsed="false">
      <c r="A9" s="13" t="n">
        <v>1</v>
      </c>
      <c r="B9" s="14" t="s">
        <v>107</v>
      </c>
    </row>
    <row r="11" customFormat="false" ht="15" hidden="false" customHeight="false" outlineLevel="0" collapsed="false">
      <c r="A11" s="5" t="s">
        <v>108</v>
      </c>
    </row>
    <row r="12" customFormat="false" ht="15" hidden="false" customHeight="false" outlineLevel="0" collapsed="false">
      <c r="A12" s="3" t="s">
        <v>109</v>
      </c>
      <c r="B12" s="3" t="s">
        <v>110</v>
      </c>
    </row>
    <row r="13" customFormat="false" ht="15" hidden="false" customHeight="false" outlineLevel="0" collapsed="false">
      <c r="A13" s="14" t="s">
        <v>111</v>
      </c>
      <c r="B13" s="15" t="n">
        <v>0.4</v>
      </c>
    </row>
    <row r="14" customFormat="false" ht="15" hidden="false" customHeight="false" outlineLevel="0" collapsed="false">
      <c r="A14" s="14" t="s">
        <v>112</v>
      </c>
      <c r="B14" s="15" t="n">
        <v>0.25</v>
      </c>
    </row>
    <row r="15" customFormat="false" ht="15" hidden="false" customHeight="false" outlineLevel="0" collapsed="false">
      <c r="A15" s="14" t="s">
        <v>113</v>
      </c>
      <c r="B15" s="15" t="n">
        <v>0.2</v>
      </c>
    </row>
    <row r="16" customFormat="false" ht="15" hidden="false" customHeight="false" outlineLevel="0" collapsed="false">
      <c r="A16" s="14" t="s">
        <v>114</v>
      </c>
      <c r="B16" s="15" t="n">
        <v>0.15</v>
      </c>
    </row>
    <row r="17" customFormat="false" ht="15" hidden="false" customHeight="false" outlineLevel="0" collapsed="false">
      <c r="A17" s="5" t="s">
        <v>115</v>
      </c>
      <c r="B17" s="16" t="n">
        <f aca="false">SUM(B13:B16)</f>
        <v>1</v>
      </c>
      <c r="C17" s="17" t="str">
        <f aca="false">IF(ROUND(B17,6)=1,"OK","Weights must sum to 1")</f>
        <v>OK</v>
      </c>
    </row>
    <row r="19" customFormat="false" ht="15" hidden="false" customHeight="false" outlineLevel="0" collapsed="false">
      <c r="A19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3" t="s">
        <v>118</v>
      </c>
      <c r="B3" s="3" t="s">
        <v>119</v>
      </c>
    </row>
    <row r="4" customFormat="false" ht="15" hidden="false" customHeight="false" outlineLevel="0" collapsed="false">
      <c r="A4" s="18" t="s">
        <v>120</v>
      </c>
      <c r="B4" s="4" t="s">
        <v>121</v>
      </c>
    </row>
    <row r="5" customFormat="false" ht="15" hidden="false" customHeight="false" outlineLevel="0" collapsed="false">
      <c r="A5" s="18" t="s">
        <v>120</v>
      </c>
      <c r="B5" s="4" t="s">
        <v>122</v>
      </c>
    </row>
    <row r="6" customFormat="false" ht="15" hidden="false" customHeight="false" outlineLevel="0" collapsed="false">
      <c r="A6" s="18" t="s">
        <v>120</v>
      </c>
      <c r="B6" s="4" t="s">
        <v>123</v>
      </c>
    </row>
    <row r="7" customFormat="false" ht="15" hidden="false" customHeight="false" outlineLevel="0" collapsed="false">
      <c r="A7" s="18" t="s">
        <v>120</v>
      </c>
      <c r="B7" s="4" t="s">
        <v>124</v>
      </c>
    </row>
    <row r="8" customFormat="false" ht="15" hidden="false" customHeight="false" outlineLevel="0" collapsed="false">
      <c r="A8" s="18" t="s">
        <v>120</v>
      </c>
      <c r="B8" s="4" t="s">
        <v>125</v>
      </c>
    </row>
    <row r="9" customFormat="false" ht="15" hidden="false" customHeight="false" outlineLevel="0" collapsed="false">
      <c r="A9" s="18" t="s">
        <v>120</v>
      </c>
      <c r="B9" s="4" t="s">
        <v>126</v>
      </c>
    </row>
    <row r="10" customFormat="false" ht="15" hidden="false" customHeight="false" outlineLevel="0" collapsed="false">
      <c r="A10" s="18" t="s">
        <v>120</v>
      </c>
      <c r="B10" s="4" t="s">
        <v>127</v>
      </c>
    </row>
    <row r="11" customFormat="false" ht="15" hidden="false" customHeight="false" outlineLevel="0" collapsed="false">
      <c r="A11" s="18" t="s">
        <v>120</v>
      </c>
      <c r="B11" s="4" t="s">
        <v>128</v>
      </c>
    </row>
    <row r="12" customFormat="false" ht="15" hidden="false" customHeight="false" outlineLevel="0" collapsed="false">
      <c r="A12" s="18" t="s">
        <v>120</v>
      </c>
      <c r="B12" s="4" t="s">
        <v>129</v>
      </c>
    </row>
    <row r="13" customFormat="false" ht="15" hidden="false" customHeight="false" outlineLevel="0" collapsed="false">
      <c r="A13" s="18" t="s">
        <v>120</v>
      </c>
      <c r="B13" s="4" t="s">
        <v>130</v>
      </c>
    </row>
    <row r="15" customFormat="false" ht="15" hidden="false" customHeight="false" outlineLevel="0" collapsed="false">
      <c r="A15" s="5" t="s">
        <v>131</v>
      </c>
      <c r="B15" s="5" t="str">
        <f aca="false">COUNTIF(A4:A13,"Yes")&amp;" of "&amp;ROWS(A4:A13)</f>
        <v>0 of 10</v>
      </c>
    </row>
  </sheetData>
  <dataValidations count="1">
    <dataValidation allowBlank="false" errorStyle="stop" operator="between" showDropDown="false" showErrorMessage="false" showInputMessage="false" sqref="A4:A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2026-10-24T12:43:07Z</dcterms:created>
  <dc:creator>openpyxl</dc:creator>
  <dc:description/>
  <dc:language>en-US</dc:language>
  <cp:lastModifiedBy/>
  <dcterms:modified xsi:type="dcterms:W3CDTF">2026-10-24T12:43:07Z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